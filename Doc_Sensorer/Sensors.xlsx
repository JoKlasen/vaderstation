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ocuments\Arduino\Eriks_väderstation\Doc_Sensorer\"/>
    </mc:Choice>
  </mc:AlternateContent>
  <xr:revisionPtr revIDLastSave="0" documentId="13_ncr:1_{FAE02451-60B7-4AB9-822C-AA8E4B0D3956}" xr6:coauthVersionLast="45" xr6:coauthVersionMax="45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I7" i="1"/>
  <c r="J7" i="1"/>
  <c r="J6" i="1"/>
  <c r="J4" i="1"/>
  <c r="J5" i="1"/>
  <c r="I5" i="1"/>
  <c r="I4" i="1"/>
</calcChain>
</file>

<file path=xl/sharedStrings.xml><?xml version="1.0" encoding="utf-8"?>
<sst xmlns="http://schemas.openxmlformats.org/spreadsheetml/2006/main" count="63" uniqueCount="59">
  <si>
    <t>Modul</t>
  </si>
  <si>
    <t>Funktion</t>
  </si>
  <si>
    <t>Kom. Protokoll</t>
  </si>
  <si>
    <t>Antal portar</t>
  </si>
  <si>
    <t>Typ av portar</t>
  </si>
  <si>
    <t>Vcc</t>
  </si>
  <si>
    <t>Datablad</t>
  </si>
  <si>
    <t>Namn</t>
  </si>
  <si>
    <t>DS18B20</t>
  </si>
  <si>
    <t>Vattentålig temperatursensor för utomhusbruk, ~-50 - 125°C</t>
  </si>
  <si>
    <t>"One-Wire"</t>
  </si>
  <si>
    <t>Vcc, GND, DQ</t>
  </si>
  <si>
    <t>3.0 - 5.5V</t>
  </si>
  <si>
    <t>Orlunda Radiostation - Väderstationsprojekt</t>
  </si>
  <si>
    <t>Kommentar</t>
  </si>
  <si>
    <t>Position</t>
  </si>
  <si>
    <t>Tak?</t>
  </si>
  <si>
    <t>BME680</t>
  </si>
  <si>
    <t>4-in-1 sensor. Gas, temp, tryck och luftfuktighet</t>
  </si>
  <si>
    <t>Sändarsal?</t>
  </si>
  <si>
    <t>I2C/SPI</t>
  </si>
  <si>
    <t>3.0 - 5.0V</t>
  </si>
  <si>
    <t>Produktsida</t>
  </si>
  <si>
    <t>RFM95W</t>
  </si>
  <si>
    <t>LoRa</t>
  </si>
  <si>
    <t>BME</t>
  </si>
  <si>
    <t>1W-Temp</t>
  </si>
  <si>
    <t>Long-range radio-sändare/mottagare @ 868MHz (ISM-band)</t>
  </si>
  <si>
    <t>SPI</t>
  </si>
  <si>
    <t>8?</t>
  </si>
  <si>
    <t>Vcc, GND, SCLK, MISO, MOSI, CS, RST, G0</t>
  </si>
  <si>
    <t>Kolla om CS, RST och G0 (Chip select, reset och interrupt) måste vara anslutna efter setup.</t>
  </si>
  <si>
    <t>DS3231</t>
  </si>
  <si>
    <t>RTC</t>
  </si>
  <si>
    <t>Högprecisions realtidsklocka med batteridriven strömförsörjning</t>
  </si>
  <si>
    <t>Tak + Börstad?</t>
  </si>
  <si>
    <t>I2C</t>
  </si>
  <si>
    <t>Vcc, GND + SDA/SCL (+BAT, 32K, SQW, RST)</t>
  </si>
  <si>
    <t>2.3 - 5.5V</t>
  </si>
  <si>
    <t>3.3V men inbyggd spänningsregulator för 5V</t>
  </si>
  <si>
    <t>Vcc, GND + SDA/SCL or SDI/SCK/SDO/CS (+3Vout)</t>
  </si>
  <si>
    <t>?</t>
  </si>
  <si>
    <t>RainGauge</t>
  </si>
  <si>
    <t>Tippskåls regnmätare</t>
  </si>
  <si>
    <t>Digital</t>
  </si>
  <si>
    <t>Vcc, GND, Digital input</t>
  </si>
  <si>
    <t>Eriks design, kolla arduino-sketch</t>
  </si>
  <si>
    <t>HC-SR04</t>
  </si>
  <si>
    <t>Sonar</t>
  </si>
  <si>
    <t>Ultraljuds sonar/avståndsmätare/rörelsedetektor</t>
  </si>
  <si>
    <t>???</t>
  </si>
  <si>
    <t>Funktionsområde 2-400cm, rekommenderat arbetsområde 10-250cm</t>
  </si>
  <si>
    <t>5V</t>
  </si>
  <si>
    <t>Se datablad</t>
  </si>
  <si>
    <t>Vcc, GND, Trig, Echo</t>
  </si>
  <si>
    <t>1 (3)</t>
  </si>
  <si>
    <t>2/4 (4/6)</t>
  </si>
  <si>
    <t>2 (4)</t>
  </si>
  <si>
    <t>2+4 (4+4)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</si>
</sst>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4.77734375" customWidth="1"/>
    <col min="3" max="3" width="32.21875" customWidth="1"/>
    <col min="4" max="4" width="14.77734375" customWidth="1"/>
    <col min="5" max="5" width="10.5546875" customWidth="1"/>
    <col min="6" max="6" width="10.88671875" style="4" customWidth="1"/>
    <col min="7" max="7" width="41" customWidth="1"/>
    <col min="9" max="10" width="11.5546875" customWidth="1"/>
  </cols>
  <sheetData>
    <row r="1" spans="1:11" ht="28.8" x14ac:dyDescent="0.55000000000000004">
      <c r="A1" s="2" t="s">
        <v>13</v>
      </c>
    </row>
    <row r="3" spans="1:11" s="3" customFormat="1" x14ac:dyDescent="0.3">
      <c r="A3" s="3" t="s">
        <v>0</v>
      </c>
      <c r="B3" s="3" t="s">
        <v>7</v>
      </c>
      <c r="C3" s="3" t="s">
        <v>1</v>
      </c>
      <c r="D3" s="3" t="s">
        <v>15</v>
      </c>
      <c r="E3" s="3" t="s">
        <v>2</v>
      </c>
      <c r="F3" s="5" t="s">
        <v>3</v>
      </c>
      <c r="G3" s="3" t="s">
        <v>4</v>
      </c>
      <c r="H3" s="3" t="s">
        <v>5</v>
      </c>
      <c r="I3" s="3" t="s">
        <v>6</v>
      </c>
      <c r="J3" s="3" t="s">
        <v>22</v>
      </c>
      <c r="K3" s="3" t="s">
        <v>14</v>
      </c>
    </row>
    <row r="4" spans="1:11" x14ac:dyDescent="0.3">
      <c r="A4" t="s">
        <v>8</v>
      </c>
      <c r="B4" t="s">
        <v>26</v>
      </c>
      <c r="C4" t="s">
        <v>9</v>
      </c>
      <c r="D4" t="s">
        <v>16</v>
      </c>
      <c r="E4" t="s">
        <v>10</v>
      </c>
      <c r="F4" s="4" t="s">
        <v>55</v>
      </c>
      <c r="G4" t="s">
        <v>11</v>
      </c>
      <c r="H4" t="s">
        <v>12</v>
      </c>
      <c r="I4" s="1" t="str">
        <f>HYPERLINK("DS18B20.pdf")</f>
        <v>DS18B20.pdf</v>
      </c>
      <c r="J4" s="1" t="str">
        <f>HYPERLINK("https://www.adafruit.com/product/381", "Adafruit 381")</f>
        <v>Adafruit 381</v>
      </c>
    </row>
    <row r="5" spans="1:11" x14ac:dyDescent="0.3">
      <c r="A5" t="s">
        <v>17</v>
      </c>
      <c r="B5" t="s">
        <v>25</v>
      </c>
      <c r="C5" t="s">
        <v>18</v>
      </c>
      <c r="D5" t="s">
        <v>19</v>
      </c>
      <c r="E5" t="s">
        <v>20</v>
      </c>
      <c r="F5" s="6" t="s">
        <v>56</v>
      </c>
      <c r="G5" t="s">
        <v>40</v>
      </c>
      <c r="H5" t="s">
        <v>21</v>
      </c>
      <c r="I5" s="1" t="str">
        <f>HYPERLINK("BME680.pdf")</f>
        <v>BME680.pdf</v>
      </c>
      <c r="J5" s="1" t="str">
        <f>HYPERLINK("https://learn.adafruit.com/adafruit-bme680-humidity-temperature-barometic-pressure-voc-gas/", "Adafruit BME680")</f>
        <v>Adafruit BME680</v>
      </c>
      <c r="K5" t="s">
        <v>39</v>
      </c>
    </row>
    <row r="6" spans="1:11" x14ac:dyDescent="0.3">
      <c r="A6" t="s">
        <v>23</v>
      </c>
      <c r="B6" t="s">
        <v>24</v>
      </c>
      <c r="C6" t="s">
        <v>27</v>
      </c>
      <c r="D6" t="s">
        <v>35</v>
      </c>
      <c r="E6" t="s">
        <v>28</v>
      </c>
      <c r="F6" s="4" t="s">
        <v>29</v>
      </c>
      <c r="G6" t="s">
        <v>30</v>
      </c>
      <c r="H6" t="s">
        <v>21</v>
      </c>
      <c r="J6" s="1" t="str">
        <f>HYPERLINK("https://www.adafruit.com/product/3072", "Adafruit RFM95W")</f>
        <v>Adafruit RFM95W</v>
      </c>
      <c r="K6" t="s">
        <v>31</v>
      </c>
    </row>
    <row r="7" spans="1:11" x14ac:dyDescent="0.3">
      <c r="A7" t="s">
        <v>32</v>
      </c>
      <c r="B7" t="s">
        <v>33</v>
      </c>
      <c r="C7" t="s">
        <v>34</v>
      </c>
      <c r="D7" t="s">
        <v>19</v>
      </c>
      <c r="E7" t="s">
        <v>36</v>
      </c>
      <c r="F7" s="4" t="s">
        <v>58</v>
      </c>
      <c r="G7" t="s">
        <v>37</v>
      </c>
      <c r="H7" t="s">
        <v>38</v>
      </c>
      <c r="I7" s="1" t="str">
        <f>HYPERLINK("DS3231.pdf")</f>
        <v>DS3231.pdf</v>
      </c>
      <c r="J7" s="1" t="str">
        <f>HYPERLINK("https://www.adafruit.com/product/3013", "Adafruit DS3231")</f>
        <v>Adafruit DS3231</v>
      </c>
    </row>
    <row r="8" spans="1:11" x14ac:dyDescent="0.3">
      <c r="A8" t="s">
        <v>41</v>
      </c>
      <c r="B8" t="s">
        <v>42</v>
      </c>
      <c r="C8" t="s">
        <v>43</v>
      </c>
      <c r="D8" t="s">
        <v>16</v>
      </c>
      <c r="E8" t="s">
        <v>44</v>
      </c>
      <c r="F8" s="4" t="s">
        <v>55</v>
      </c>
      <c r="G8" t="s">
        <v>45</v>
      </c>
      <c r="K8" t="s">
        <v>46</v>
      </c>
    </row>
    <row r="9" spans="1:11" x14ac:dyDescent="0.3">
      <c r="A9" t="s">
        <v>47</v>
      </c>
      <c r="B9" t="s">
        <v>48</v>
      </c>
      <c r="C9" t="s">
        <v>49</v>
      </c>
      <c r="D9" t="s">
        <v>50</v>
      </c>
      <c r="E9" t="s">
        <v>53</v>
      </c>
      <c r="F9" s="4" t="s">
        <v>57</v>
      </c>
      <c r="G9" t="s">
        <v>54</v>
      </c>
      <c r="H9" t="s">
        <v>52</v>
      </c>
      <c r="I9" s="1" t="str">
        <f>HYPERLINK("HCSR04.pdf")</f>
        <v>HCSR04.pdf</v>
      </c>
      <c r="J9" s="1" t="str">
        <f>HYPERLINK("https://www.adafruit.com/product/3942", "Adafruit 3942")</f>
        <v>Adafruit 3942</v>
      </c>
      <c r="K9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Klasén</dc:creator>
  <cp:lastModifiedBy>Johan Klasén</cp:lastModifiedBy>
  <dcterms:created xsi:type="dcterms:W3CDTF">2021-01-04T19:18:19Z</dcterms:created>
  <dcterms:modified xsi:type="dcterms:W3CDTF">2021-01-06T19:04:42Z</dcterms:modified>
</cp:coreProperties>
</file>